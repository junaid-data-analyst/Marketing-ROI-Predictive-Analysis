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MLS\Documents\"/>
    </mc:Choice>
  </mc:AlternateContent>
  <bookViews>
    <workbookView xWindow="0" yWindow="0" windowWidth="23040" windowHeight="10524"/>
  </bookViews>
  <sheets>
    <sheet name="Sales &amp; Marketing" sheetId="1" r:id="rId1"/>
    <sheet name="Growth Forecast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" i="3" l="1"/>
  <c r="G23" i="3"/>
  <c r="G22" i="3"/>
</calcChain>
</file>

<file path=xl/sharedStrings.xml><?xml version="1.0" encoding="utf-8"?>
<sst xmlns="http://schemas.openxmlformats.org/spreadsheetml/2006/main" count="45" uniqueCount="43">
  <si>
    <t>Month</t>
  </si>
  <si>
    <t>Marketing Spend (SAR)</t>
  </si>
  <si>
    <t>New Customers</t>
  </si>
  <si>
    <t>Monthly Revenue (SAR)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</si>
  <si>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</si>
  <si>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</si>
  <si>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</si>
  <si>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</si>
  <si>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</si>
  <si>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</si>
  <si>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</si>
  <si>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</si>
  <si>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</si>
  <si>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</si>
  <si>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</si>
  <si>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</si>
  <si>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</si>
  <si>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</si>
  <si>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</si>
  <si>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</si>
  <si>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</si>
  <si>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</si>
  <si>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</si>
  <si>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</si>
  <si>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</si>
  <si>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</si>
  <si>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</si>
  <si>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</si>
  <si>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</si>
  <si>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</si>
  <si>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</si>
  <si>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</si>
  <si>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</si>
  <si>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</si>
  <si>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</si>
  <si>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</si>
  <si>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</si>
  <si>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</si>
  <si>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90.0%</t>
  </si>
  <si>
    <t>Upper 90.0%</t>
  </si>
  <si>
    <r>
      <rPr>
        <b/>
        <sz val="14"/>
        <color theme="1"/>
        <rFont val="Calibri"/>
        <family val="2"/>
        <scheme val="minor"/>
      </rPr>
      <t>Predictive Revenue</t>
    </r>
    <r>
      <rPr>
        <sz val="11"/>
        <color theme="1"/>
        <rFont val="Calibri"/>
        <family val="2"/>
        <scheme val="minor"/>
      </rPr>
      <t xml:space="preserve"> </t>
    </r>
  </si>
  <si>
    <t>Lower Bound</t>
  </si>
  <si>
    <t>Upper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</si>
</sst>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3" fontId="1" fillId="0" borderId="1" xfId="0" applyNumberFormat="1" applyFont="1" applyBorder="1" applyAlignment="1">
      <alignment horizontal="left" vertical="center" wrapText="1" indent="1" readingOrder="1"/>
    </xf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Continuous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3ECE"/>
      <color rgb="FF6E1661"/>
      <color rgb="FF63691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2">
                    <a:lumMod val="75000"/>
                  </a:schemeClr>
                </a:solidFill>
              </a:rPr>
              <a:t>Impact</a:t>
            </a:r>
            <a:r>
              <a:rPr lang="en-US" b="1" baseline="0">
                <a:solidFill>
                  <a:schemeClr val="accent2">
                    <a:lumMod val="75000"/>
                  </a:schemeClr>
                </a:solidFill>
              </a:rPr>
              <a:t> of Marketing Spend on Revenue Growth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'Sales &amp; Marketing'!$B$1</c:f>
              <c:strCache>
                <c:ptCount val="1"/>
                <c:pt idx="0">
                  <c:v>Marketing Spend (SAR)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07869641294838"/>
                  <c:y val="-5.5972222222222222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="1" baseline="0">
                        <a:solidFill>
                          <a:schemeClr val="accent1">
                            <a:lumMod val="75000"/>
                          </a:schemeClr>
                        </a:solidFill>
                      </a:rPr>
                      <a:t>Revenue= (5.2571*Spend) + 33212</a:t>
                    </a:r>
                    <a:br>
                      <a:rPr lang="en-US" sz="1100" b="1" baseline="0">
                        <a:solidFill>
                          <a:schemeClr val="accent1">
                            <a:lumMod val="75000"/>
                          </a:schemeClr>
                        </a:solidFill>
                      </a:rPr>
                    </a:br>
                    <a:r>
                      <a:rPr lang="en-US" sz="1100" b="1" baseline="0">
                        <a:solidFill>
                          <a:schemeClr val="accent1">
                            <a:lumMod val="75000"/>
                          </a:schemeClr>
                        </a:solidFill>
                      </a:rPr>
                      <a:t>Accuracy(R²) = 99.5%</a:t>
                    </a:r>
                    <a:endParaRPr lang="en-US" sz="1100" b="1">
                      <a:solidFill>
                        <a:schemeClr val="accent1">
                          <a:lumMod val="75000"/>
                        </a:schemeClr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'Sales &amp; Marketing'!$B$2:$B$13</c:f>
              <c:numCache>
                <c:formatCode>#,##0</c:formatCode>
                <c:ptCount val="12"/>
                <c:pt idx="0">
                  <c:v>12000</c:v>
                </c:pt>
                <c:pt idx="1">
                  <c:v>15000</c:v>
                </c:pt>
                <c:pt idx="2">
                  <c:v>14000</c:v>
                </c:pt>
                <c:pt idx="3">
                  <c:v>18000</c:v>
                </c:pt>
                <c:pt idx="4">
                  <c:v>22000</c:v>
                </c:pt>
                <c:pt idx="5">
                  <c:v>20000</c:v>
                </c:pt>
                <c:pt idx="6">
                  <c:v>25000</c:v>
                </c:pt>
                <c:pt idx="7">
                  <c:v>27000</c:v>
                </c:pt>
                <c:pt idx="8">
                  <c:v>24000</c:v>
                </c:pt>
                <c:pt idx="9">
                  <c:v>30000</c:v>
                </c:pt>
                <c:pt idx="10">
                  <c:v>32000</c:v>
                </c:pt>
                <c:pt idx="11">
                  <c:v>35000</c:v>
                </c:pt>
              </c:numCache>
            </c:numRef>
          </c:xVal>
          <c:yVal>
            <c:numRef>
              <c:f>'Sales &amp; Marketing'!$D$2:$D$13</c:f>
              <c:numCache>
                <c:formatCode>#,##0</c:formatCode>
                <c:ptCount val="12"/>
                <c:pt idx="0">
                  <c:v>98000</c:v>
                </c:pt>
                <c:pt idx="1">
                  <c:v>115000</c:v>
                </c:pt>
                <c:pt idx="2">
                  <c:v>108000</c:v>
                </c:pt>
                <c:pt idx="3">
                  <c:v>128000</c:v>
                </c:pt>
                <c:pt idx="4">
                  <c:v>145000</c:v>
                </c:pt>
                <c:pt idx="5">
                  <c:v>138000</c:v>
                </c:pt>
                <c:pt idx="6">
                  <c:v>162000</c:v>
                </c:pt>
                <c:pt idx="7">
                  <c:v>175000</c:v>
                </c:pt>
                <c:pt idx="8">
                  <c:v>155000</c:v>
                </c:pt>
                <c:pt idx="9">
                  <c:v>190000</c:v>
                </c:pt>
                <c:pt idx="10">
                  <c:v>205000</c:v>
                </c:pt>
                <c:pt idx="11">
                  <c:v>220000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'Sales &amp; Marketing'!$D$1</c:f>
              <c:strCache>
                <c:ptCount val="1"/>
                <c:pt idx="0">
                  <c:v>Monthly Revenue (SAR)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E3ECE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'Sales &amp; Marketing'!$A$2:$A$13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xVal>
          <c:yVal>
            <c:numRef>
              <c:f>'Sales &amp; Marketing'!$D$2:$D$13</c:f>
              <c:numCache>
                <c:formatCode>#,##0</c:formatCode>
                <c:ptCount val="12"/>
                <c:pt idx="0">
                  <c:v>98000</c:v>
                </c:pt>
                <c:pt idx="1">
                  <c:v>115000</c:v>
                </c:pt>
                <c:pt idx="2">
                  <c:v>108000</c:v>
                </c:pt>
                <c:pt idx="3">
                  <c:v>128000</c:v>
                </c:pt>
                <c:pt idx="4">
                  <c:v>145000</c:v>
                </c:pt>
                <c:pt idx="5">
                  <c:v>138000</c:v>
                </c:pt>
                <c:pt idx="6">
                  <c:v>162000</c:v>
                </c:pt>
                <c:pt idx="7">
                  <c:v>175000</c:v>
                </c:pt>
                <c:pt idx="8">
                  <c:v>155000</c:v>
                </c:pt>
                <c:pt idx="9">
                  <c:v>190000</c:v>
                </c:pt>
                <c:pt idx="10">
                  <c:v>205000</c:v>
                </c:pt>
                <c:pt idx="11">
                  <c:v>220000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239600"/>
        <c:axId val="38323999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'Sales &amp; Marketing'!$C$1</c15:sqref>
                        </c15:formulaRef>
                      </c:ext>
                    </c:extLst>
                    <c:strCache>
                      <c:ptCount val="1"/>
                      <c:pt idx="0">
                        <c:v>New Customers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strRef>
                    <c:extLst>
                      <c:ext uri="{02D57815-91ED-43cb-92C2-25804820EDAC}">
                        <c15:formulaRef>
                          <c15:sqref>'Sales &amp; Marketing'!$A$2:$A$13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'Sales &amp; Marketing'!$C$2:$C$13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145</c:v>
                      </c:pt>
                      <c:pt idx="1">
                        <c:v>180</c:v>
                      </c:pt>
                      <c:pt idx="2">
                        <c:v>165</c:v>
                      </c:pt>
                      <c:pt idx="3">
                        <c:v>210</c:v>
                      </c:pt>
                      <c:pt idx="4">
                        <c:v>255</c:v>
                      </c:pt>
                      <c:pt idx="5">
                        <c:v>240</c:v>
                      </c:pt>
                      <c:pt idx="6">
                        <c:v>305</c:v>
                      </c:pt>
                      <c:pt idx="7">
                        <c:v>330</c:v>
                      </c:pt>
                      <c:pt idx="8">
                        <c:v>290</c:v>
                      </c:pt>
                      <c:pt idx="9">
                        <c:v>370</c:v>
                      </c:pt>
                      <c:pt idx="10">
                        <c:v>395</c:v>
                      </c:pt>
                      <c:pt idx="11">
                        <c:v>430</c:v>
                      </c:pt>
                    </c:numCache>
                  </c:numRef>
                </c:yVal>
                <c:smooth val="0"/>
              </c15:ser>
            </c15:filteredScatterSeries>
          </c:ext>
        </c:extLst>
      </c:scatterChart>
      <c:valAx>
        <c:axId val="383239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Marketing</a:t>
                </a:r>
                <a:r>
                  <a:rPr lang="en-US" sz="1100" b="1" baseline="0"/>
                  <a:t> Investment</a:t>
                </a:r>
                <a:endParaRPr lang="en-US" sz="11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239992"/>
        <c:crosses val="autoZero"/>
        <c:crossBetween val="midCat"/>
      </c:valAx>
      <c:valAx>
        <c:axId val="3832399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Revenue</a:t>
                </a:r>
                <a:r>
                  <a:rPr lang="en-US" sz="1100" b="1" baseline="0"/>
                  <a:t> Generated</a:t>
                </a:r>
                <a:endParaRPr lang="en-US" sz="11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239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</xdr:colOff>
      <xdr:row>0</xdr:row>
      <xdr:rowOff>0</xdr:rowOff>
    </xdr:from>
    <xdr:to>
      <xdr:col>16</xdr:col>
      <xdr:colOff>320040</xdr:colOff>
      <xdr:row>14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sqref="A1:D13"/>
    </sheetView>
  </sheetViews>
  <sheetFormatPr defaultColWidth="16.77734375" defaultRowHeight="14.4" x14ac:dyDescent="0.3"/>
  <cols>
    <col min="4" max="4" width="18.109375" customWidth="1"/>
  </cols>
  <sheetData>
    <row r="1" spans="1:4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" thickBot="1" x14ac:dyDescent="0.35">
      <c r="A2" s="2" t="s">
        <v>4</v>
      </c>
      <c r="B2" s="3">
        <v>12000</v>
      </c>
      <c r="C2" s="2">
        <v>145</v>
      </c>
      <c r="D2" s="3">
        <v>98000</v>
      </c>
    </row>
    <row r="3" spans="1:4" ht="15" thickBot="1" x14ac:dyDescent="0.35">
      <c r="A3" s="2" t="s">
        <v>5</v>
      </c>
      <c r="B3" s="3">
        <v>15000</v>
      </c>
      <c r="C3" s="2">
        <v>180</v>
      </c>
      <c r="D3" s="3">
        <v>115000</v>
      </c>
    </row>
    <row r="4" spans="1:4" ht="15" thickBot="1" x14ac:dyDescent="0.35">
      <c r="A4" s="2" t="s">
        <v>6</v>
      </c>
      <c r="B4" s="3">
        <v>14000</v>
      </c>
      <c r="C4" s="2">
        <v>165</v>
      </c>
      <c r="D4" s="3">
        <v>108000</v>
      </c>
    </row>
    <row r="5" spans="1:4" ht="15" thickBot="1" x14ac:dyDescent="0.35">
      <c r="A5" s="2" t="s">
        <v>7</v>
      </c>
      <c r="B5" s="3">
        <v>18000</v>
      </c>
      <c r="C5" s="2">
        <v>210</v>
      </c>
      <c r="D5" s="3">
        <v>128000</v>
      </c>
    </row>
    <row r="6" spans="1:4" ht="15" thickBot="1" x14ac:dyDescent="0.35">
      <c r="A6" s="2" t="s">
        <v>8</v>
      </c>
      <c r="B6" s="3">
        <v>22000</v>
      </c>
      <c r="C6" s="2">
        <v>255</v>
      </c>
      <c r="D6" s="3">
        <v>145000</v>
      </c>
    </row>
    <row r="7" spans="1:4" ht="15" thickBot="1" x14ac:dyDescent="0.35">
      <c r="A7" s="2" t="s">
        <v>9</v>
      </c>
      <c r="B7" s="3">
        <v>20000</v>
      </c>
      <c r="C7" s="2">
        <v>240</v>
      </c>
      <c r="D7" s="3">
        <v>138000</v>
      </c>
    </row>
    <row r="8" spans="1:4" ht="15" thickBot="1" x14ac:dyDescent="0.35">
      <c r="A8" s="2" t="s">
        <v>10</v>
      </c>
      <c r="B8" s="3">
        <v>25000</v>
      </c>
      <c r="C8" s="2">
        <v>305</v>
      </c>
      <c r="D8" s="3">
        <v>162000</v>
      </c>
    </row>
    <row r="9" spans="1:4" ht="15" thickBot="1" x14ac:dyDescent="0.35">
      <c r="A9" s="2" t="s">
        <v>11</v>
      </c>
      <c r="B9" s="3">
        <v>27000</v>
      </c>
      <c r="C9" s="2">
        <v>330</v>
      </c>
      <c r="D9" s="3">
        <v>175000</v>
      </c>
    </row>
    <row r="10" spans="1:4" ht="15" thickBot="1" x14ac:dyDescent="0.35">
      <c r="A10" s="2" t="s">
        <v>12</v>
      </c>
      <c r="B10" s="3">
        <v>24000</v>
      </c>
      <c r="C10" s="2">
        <v>290</v>
      </c>
      <c r="D10" s="3">
        <v>155000</v>
      </c>
    </row>
    <row r="11" spans="1:4" ht="15" thickBot="1" x14ac:dyDescent="0.35">
      <c r="A11" s="2" t="s">
        <v>13</v>
      </c>
      <c r="B11" s="3">
        <v>30000</v>
      </c>
      <c r="C11" s="2">
        <v>370</v>
      </c>
      <c r="D11" s="3">
        <v>190000</v>
      </c>
    </row>
    <row r="12" spans="1:4" ht="15" thickBot="1" x14ac:dyDescent="0.35">
      <c r="A12" s="2" t="s">
        <v>14</v>
      </c>
      <c r="B12" s="3">
        <v>32000</v>
      </c>
      <c r="C12" s="2">
        <v>395</v>
      </c>
      <c r="D12" s="3">
        <v>205000</v>
      </c>
    </row>
    <row r="13" spans="1:4" ht="15" thickBot="1" x14ac:dyDescent="0.35">
      <c r="A13" s="2" t="s">
        <v>15</v>
      </c>
      <c r="B13" s="3">
        <v>35000</v>
      </c>
      <c r="C13" s="2">
        <v>430</v>
      </c>
      <c r="D13" s="3">
        <v>220000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selection activeCell="C4" sqref="C4"/>
    </sheetView>
  </sheetViews>
  <sheetFormatPr defaultRowHeight="14.4" x14ac:dyDescent="0.3"/>
  <cols>
    <col min="1" max="1" width="19.44140625" bestFit="1" customWidth="1"/>
    <col min="2" max="2" width="12" bestFit="1" customWidth="1"/>
    <col min="3" max="3" width="13.44140625" bestFit="1" customWidth="1"/>
    <col min="4" max="5" width="12" bestFit="1" customWidth="1"/>
    <col min="6" max="6" width="22" bestFit="1" customWidth="1"/>
    <col min="7" max="7" width="13.33203125" bestFit="1" customWidth="1"/>
    <col min="8" max="9" width="12.109375" bestFit="1" customWidth="1"/>
  </cols>
  <sheetData>
    <row r="1" spans="1:9" x14ac:dyDescent="0.3">
      <c r="A1" t="s">
        <v>16</v>
      </c>
    </row>
    <row r="2" spans="1:9" ht="15" thickBot="1" x14ac:dyDescent="0.35"/>
    <row r="3" spans="1:9" x14ac:dyDescent="0.3">
      <c r="A3" s="7" t="s">
        <v>17</v>
      </c>
      <c r="B3" s="7"/>
    </row>
    <row r="4" spans="1:9" x14ac:dyDescent="0.3">
      <c r="A4" s="4" t="s">
        <v>18</v>
      </c>
      <c r="B4" s="4">
        <v>0.99771382656969632</v>
      </c>
    </row>
    <row r="5" spans="1:9" x14ac:dyDescent="0.3">
      <c r="A5" s="4" t="s">
        <v>19</v>
      </c>
      <c r="B5" s="4">
        <v>0.99543287972834615</v>
      </c>
    </row>
    <row r="6" spans="1:9" x14ac:dyDescent="0.3">
      <c r="A6" s="4" t="s">
        <v>20</v>
      </c>
      <c r="B6" s="4">
        <v>0.99497616770118069</v>
      </c>
    </row>
    <row r="7" spans="1:9" x14ac:dyDescent="0.3">
      <c r="A7" s="4" t="s">
        <v>21</v>
      </c>
      <c r="B7" s="4">
        <v>2748.3117878559633</v>
      </c>
    </row>
    <row r="8" spans="1:9" ht="15" thickBot="1" x14ac:dyDescent="0.35">
      <c r="A8" s="5" t="s">
        <v>22</v>
      </c>
      <c r="B8" s="5">
        <v>12</v>
      </c>
    </row>
    <row r="10" spans="1:9" ht="15" thickBot="1" x14ac:dyDescent="0.35">
      <c r="A10" t="s">
        <v>23</v>
      </c>
    </row>
    <row r="11" spans="1:9" x14ac:dyDescent="0.3">
      <c r="A11" s="6"/>
      <c r="B11" s="6" t="s">
        <v>28</v>
      </c>
      <c r="C11" s="6" t="s">
        <v>29</v>
      </c>
      <c r="D11" s="6" t="s">
        <v>30</v>
      </c>
      <c r="E11" s="6" t="s">
        <v>31</v>
      </c>
      <c r="F11" s="6" t="s">
        <v>32</v>
      </c>
    </row>
    <row r="12" spans="1:9" x14ac:dyDescent="0.3">
      <c r="A12" s="4" t="s">
        <v>24</v>
      </c>
      <c r="B12" s="4">
        <v>1</v>
      </c>
      <c r="C12" s="4">
        <v>16462717823.16732</v>
      </c>
      <c r="D12" s="4">
        <v>16462717823.16732</v>
      </c>
      <c r="E12" s="4">
        <v>2179.5635335170718</v>
      </c>
      <c r="F12" s="4">
        <v>4.8993776823516858E-13</v>
      </c>
    </row>
    <row r="13" spans="1:9" x14ac:dyDescent="0.3">
      <c r="A13" s="4" t="s">
        <v>25</v>
      </c>
      <c r="B13" s="4">
        <v>10</v>
      </c>
      <c r="C13" s="4">
        <v>75532176.832680404</v>
      </c>
      <c r="D13" s="4">
        <v>7553217.6832680404</v>
      </c>
      <c r="E13" s="4"/>
      <c r="F13" s="4"/>
    </row>
    <row r="14" spans="1:9" ht="15" thickBot="1" x14ac:dyDescent="0.35">
      <c r="A14" s="5" t="s">
        <v>26</v>
      </c>
      <c r="B14" s="5">
        <v>11</v>
      </c>
      <c r="C14" s="5">
        <v>16538250000</v>
      </c>
      <c r="D14" s="5"/>
      <c r="E14" s="5"/>
      <c r="F14" s="5"/>
    </row>
    <row r="15" spans="1:9" ht="15" thickBot="1" x14ac:dyDescent="0.35"/>
    <row r="16" spans="1:9" x14ac:dyDescent="0.3">
      <c r="A16" s="6"/>
      <c r="B16" s="6" t="s">
        <v>33</v>
      </c>
      <c r="C16" s="6" t="s">
        <v>21</v>
      </c>
      <c r="D16" s="6" t="s">
        <v>34</v>
      </c>
      <c r="E16" s="6" t="s">
        <v>35</v>
      </c>
      <c r="F16" s="6" t="s">
        <v>36</v>
      </c>
      <c r="G16" s="6" t="s">
        <v>37</v>
      </c>
      <c r="H16" s="6" t="s">
        <v>38</v>
      </c>
      <c r="I16" s="6" t="s">
        <v>39</v>
      </c>
    </row>
    <row r="17" spans="1:9" x14ac:dyDescent="0.3">
      <c r="A17" s="4" t="s">
        <v>27</v>
      </c>
      <c r="B17" s="4">
        <v>33212.087297146063</v>
      </c>
      <c r="C17" s="4">
        <v>2690.8061141920957</v>
      </c>
      <c r="D17" s="4">
        <v>12.3428020777773</v>
      </c>
      <c r="E17" s="4">
        <v>2.2406051714249853E-7</v>
      </c>
      <c r="F17" s="4">
        <v>27216.597650952441</v>
      </c>
      <c r="G17" s="4">
        <v>39207.576943339685</v>
      </c>
      <c r="H17" s="4">
        <v>28335.105826148934</v>
      </c>
      <c r="I17" s="4">
        <v>38089.068768143188</v>
      </c>
    </row>
    <row r="18" spans="1:9" ht="15" thickBot="1" x14ac:dyDescent="0.35">
      <c r="A18" s="5" t="s">
        <v>1</v>
      </c>
      <c r="B18" s="5">
        <v>5.2571348628987131</v>
      </c>
      <c r="C18" s="5">
        <v>0.11260673118972801</v>
      </c>
      <c r="D18" s="5">
        <v>46.685795843244129</v>
      </c>
      <c r="E18" s="5">
        <v>4.8993776823516858E-13</v>
      </c>
      <c r="F18" s="5">
        <v>5.0062314301397057</v>
      </c>
      <c r="G18" s="5">
        <v>5.5080382956577205</v>
      </c>
      <c r="H18" s="5">
        <v>5.0530395404504258</v>
      </c>
      <c r="I18" s="5">
        <v>5.4612301853470004</v>
      </c>
    </row>
    <row r="21" spans="1:9" ht="18" x14ac:dyDescent="0.35">
      <c r="F21" t="s">
        <v>40</v>
      </c>
      <c r="G21" s="9">
        <f>(B18*40000) + B17</f>
        <v>243497.48181309458</v>
      </c>
    </row>
    <row r="22" spans="1:9" ht="18" x14ac:dyDescent="0.35">
      <c r="F22" s="8" t="s">
        <v>41</v>
      </c>
      <c r="G22" s="9">
        <f>G21-(1.645*B7)</f>
        <v>238976.50892207152</v>
      </c>
    </row>
    <row r="23" spans="1:9" ht="18" x14ac:dyDescent="0.35">
      <c r="F23" s="8" t="s">
        <v>42</v>
      </c>
      <c r="G23" s="9">
        <f>G21+(1.645*B7)</f>
        <v>248018.45470411764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&amp; Marketing</vt:lpstr>
      <vt:lpstr>Growth Forecast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PMLS</dc:creator>
  <cp:lastModifiedBy>PMLS</cp:lastModifiedBy>
  <dcterms:created xsi:type="dcterms:W3CDTF">2026-02-06T11:38:42Z</dcterms:created>
  <dcterms:modified xsi:type="dcterms:W3CDTF">2026-02-06T12:20:39Z</dcterms:modified>
</cp:coreProperties>
</file>